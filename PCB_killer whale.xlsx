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iva365-my.sharepoint.com/personal/cathrine_brecke_gundersen_niva_no/Documents/1 Projects/Screening/Screening_R/Screening/"/>
    </mc:Choice>
  </mc:AlternateContent>
  <xr:revisionPtr revIDLastSave="0" documentId="8_{07F5BAA7-579A-4C49-A1E1-AA39C7C6F5CB}" xr6:coauthVersionLast="47" xr6:coauthVersionMax="47" xr10:uidLastSave="{00000000-0000-0000-0000-000000000000}"/>
  <bookViews>
    <workbookView xWindow="-120" yWindow="-120" windowWidth="29040" windowHeight="17640" xr2:uid="{0259286F-2128-4AB8-9797-AF3394A569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0" i="1" l="1"/>
  <c r="O16" i="1"/>
  <c r="O15" i="1"/>
</calcChain>
</file>

<file path=xl/sharedStrings.xml><?xml version="1.0" encoding="utf-8"?>
<sst xmlns="http://schemas.openxmlformats.org/spreadsheetml/2006/main" count="20" uniqueCount="19">
  <si>
    <t>ng/g</t>
  </si>
  <si>
    <t>mg/kg</t>
  </si>
  <si>
    <t>CB28</t>
  </si>
  <si>
    <t>CB52</t>
  </si>
  <si>
    <t>CB101</t>
  </si>
  <si>
    <t>CB118</t>
  </si>
  <si>
    <t>CB138</t>
  </si>
  <si>
    <t>CB153</t>
  </si>
  <si>
    <t>CB180</t>
  </si>
  <si>
    <t>7012-37-5</t>
  </si>
  <si>
    <t>35693-99-3</t>
  </si>
  <si>
    <t>37680-73-2</t>
  </si>
  <si>
    <t>31508-00-6</t>
  </si>
  <si>
    <t>35065-28-2</t>
  </si>
  <si>
    <t>35065-27-1</t>
  </si>
  <si>
    <t>35065-29-3</t>
  </si>
  <si>
    <t>OO11</t>
  </si>
  <si>
    <t>OO5</t>
  </si>
  <si>
    <t>OO14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</si>
</sst>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 applyProtection="1">
      <alignment horizontal="left" vertical="top"/>
      <protection locked="0"/>
    </xf>
    <xf numFmtId="1" fontId="0" fillId="0" borderId="0" xfId="0" applyNumberFormat="1"/>
    <xf numFmtId="0" fontId="2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top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Sheet1!$H$29</c:f>
              <c:strCache>
                <c:ptCount val="1"/>
                <c:pt idx="0">
                  <c:v>CB28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Sheet1!$H$30:$H$32</c:f>
              <c:numCache>
                <c:formatCode>General</c:formatCode>
                <c:ptCount val="3"/>
                <c:pt idx="0">
                  <c:v>16.5</c:v>
                </c:pt>
                <c:pt idx="1">
                  <c:v>0.92</c:v>
                </c:pt>
                <c:pt idx="2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7E-476D-90BE-4126E573E1CF}"/>
            </c:ext>
          </c:extLst>
        </c:ser>
        <c:ser>
          <c:idx val="1"/>
          <c:order val="1"/>
          <c:tx>
            <c:strRef>
              <c:f>Sheet1!$I$29</c:f>
              <c:strCache>
                <c:ptCount val="1"/>
                <c:pt idx="0">
                  <c:v>CB52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Sheet1!$I$30:$I$32</c:f>
              <c:numCache>
                <c:formatCode>General</c:formatCode>
                <c:ptCount val="3"/>
                <c:pt idx="0">
                  <c:v>4440</c:v>
                </c:pt>
                <c:pt idx="1">
                  <c:v>595</c:v>
                </c:pt>
                <c:pt idx="2">
                  <c:v>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7E-476D-90BE-4126E573E1CF}"/>
            </c:ext>
          </c:extLst>
        </c:ser>
        <c:ser>
          <c:idx val="2"/>
          <c:order val="2"/>
          <c:tx>
            <c:strRef>
              <c:f>Sheet1!$J$29</c:f>
              <c:strCache>
                <c:ptCount val="1"/>
                <c:pt idx="0">
                  <c:v>CB101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Sheet1!$J$30:$J$32</c:f>
              <c:numCache>
                <c:formatCode>General</c:formatCode>
                <c:ptCount val="3"/>
                <c:pt idx="0">
                  <c:v>3160</c:v>
                </c:pt>
                <c:pt idx="1">
                  <c:v>687</c:v>
                </c:pt>
                <c:pt idx="2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7E-476D-90BE-4126E573E1CF}"/>
            </c:ext>
          </c:extLst>
        </c:ser>
        <c:ser>
          <c:idx val="3"/>
          <c:order val="3"/>
          <c:tx>
            <c:strRef>
              <c:f>Sheet1!$K$29</c:f>
              <c:strCache>
                <c:ptCount val="1"/>
                <c:pt idx="0">
                  <c:v>CB118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Sheet1!$K$30:$K$32</c:f>
              <c:numCache>
                <c:formatCode>General</c:formatCode>
                <c:ptCount val="3"/>
                <c:pt idx="0">
                  <c:v>3650</c:v>
                </c:pt>
                <c:pt idx="1">
                  <c:v>462</c:v>
                </c:pt>
                <c:pt idx="2">
                  <c:v>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17E-476D-90BE-4126E573E1CF}"/>
            </c:ext>
          </c:extLst>
        </c:ser>
        <c:ser>
          <c:idx val="4"/>
          <c:order val="4"/>
          <c:tx>
            <c:strRef>
              <c:f>Sheet1!$L$29</c:f>
              <c:strCache>
                <c:ptCount val="1"/>
                <c:pt idx="0">
                  <c:v>CB138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Sheet1!$L$30:$L$32</c:f>
              <c:numCache>
                <c:formatCode>General</c:formatCode>
                <c:ptCount val="3"/>
                <c:pt idx="0">
                  <c:v>23900</c:v>
                </c:pt>
                <c:pt idx="1">
                  <c:v>1290</c:v>
                </c:pt>
                <c:pt idx="2">
                  <c:v>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17E-476D-90BE-4126E573E1CF}"/>
            </c:ext>
          </c:extLst>
        </c:ser>
        <c:ser>
          <c:idx val="5"/>
          <c:order val="5"/>
          <c:tx>
            <c:strRef>
              <c:f>Sheet1!$M$29</c:f>
              <c:strCache>
                <c:ptCount val="1"/>
                <c:pt idx="0">
                  <c:v>CB153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Sheet1!$M$30:$M$32</c:f>
              <c:numCache>
                <c:formatCode>General</c:formatCode>
                <c:ptCount val="3"/>
                <c:pt idx="0">
                  <c:v>35300</c:v>
                </c:pt>
                <c:pt idx="1">
                  <c:v>1690</c:v>
                </c:pt>
                <c:pt idx="2">
                  <c:v>466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17E-476D-90BE-4126E573E1CF}"/>
            </c:ext>
          </c:extLst>
        </c:ser>
        <c:ser>
          <c:idx val="6"/>
          <c:order val="6"/>
          <c:tx>
            <c:strRef>
              <c:f>Sheet1!$N$29</c:f>
              <c:strCache>
                <c:ptCount val="1"/>
                <c:pt idx="0">
                  <c:v>CB180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Sheet1!$N$30:$N$32</c:f>
              <c:numCache>
                <c:formatCode>General</c:formatCode>
                <c:ptCount val="3"/>
                <c:pt idx="0">
                  <c:v>6540</c:v>
                </c:pt>
                <c:pt idx="1">
                  <c:v>650</c:v>
                </c:pt>
                <c:pt idx="2">
                  <c:v>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17E-476D-90BE-4126E573E1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55197776"/>
        <c:axId val="755198136"/>
      </c:barChart>
      <c:catAx>
        <c:axId val="75519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198136"/>
        <c:crosses val="autoZero"/>
        <c:auto val="1"/>
        <c:lblAlgn val="ctr"/>
        <c:lblOffset val="100"/>
        <c:noMultiLvlLbl val="0"/>
      </c:catAx>
      <c:valAx>
        <c:axId val="755198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197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/>
              <a:t>PCBs in killer whale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Sheet1!$H$29</c:f>
              <c:strCache>
                <c:ptCount val="1"/>
                <c:pt idx="0">
                  <c:v>CB28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Sheet1!$G$30:$G$32</c:f>
              <c:strCache>
                <c:ptCount val="3"/>
                <c:pt idx="0">
                  <c:v>OO11</c:v>
                </c:pt>
                <c:pt idx="1">
                  <c:v>OO14</c:v>
                </c:pt>
                <c:pt idx="2">
                  <c:v>OO5</c:v>
                </c:pt>
              </c:strCache>
            </c:strRef>
          </c:cat>
          <c:val>
            <c:numRef>
              <c:f>Sheet1!$H$30:$H$32</c:f>
              <c:numCache>
                <c:formatCode>General</c:formatCode>
                <c:ptCount val="3"/>
                <c:pt idx="0">
                  <c:v>16.5</c:v>
                </c:pt>
                <c:pt idx="1">
                  <c:v>0.92</c:v>
                </c:pt>
                <c:pt idx="2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BB-4CF8-859F-388137A4CCF2}"/>
            </c:ext>
          </c:extLst>
        </c:ser>
        <c:ser>
          <c:idx val="1"/>
          <c:order val="1"/>
          <c:tx>
            <c:strRef>
              <c:f>Sheet1!$I$29</c:f>
              <c:strCache>
                <c:ptCount val="1"/>
                <c:pt idx="0">
                  <c:v>CB52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Sheet1!$G$30:$G$32</c:f>
              <c:strCache>
                <c:ptCount val="3"/>
                <c:pt idx="0">
                  <c:v>OO11</c:v>
                </c:pt>
                <c:pt idx="1">
                  <c:v>OO14</c:v>
                </c:pt>
                <c:pt idx="2">
                  <c:v>OO5</c:v>
                </c:pt>
              </c:strCache>
            </c:strRef>
          </c:cat>
          <c:val>
            <c:numRef>
              <c:f>Sheet1!$I$30:$I$32</c:f>
              <c:numCache>
                <c:formatCode>General</c:formatCode>
                <c:ptCount val="3"/>
                <c:pt idx="0">
                  <c:v>4440</c:v>
                </c:pt>
                <c:pt idx="1">
                  <c:v>595</c:v>
                </c:pt>
                <c:pt idx="2">
                  <c:v>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BB-4CF8-859F-388137A4CCF2}"/>
            </c:ext>
          </c:extLst>
        </c:ser>
        <c:ser>
          <c:idx val="2"/>
          <c:order val="2"/>
          <c:tx>
            <c:strRef>
              <c:f>Sheet1!$J$29</c:f>
              <c:strCache>
                <c:ptCount val="1"/>
                <c:pt idx="0">
                  <c:v>CB101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Sheet1!$G$30:$G$32</c:f>
              <c:strCache>
                <c:ptCount val="3"/>
                <c:pt idx="0">
                  <c:v>OO11</c:v>
                </c:pt>
                <c:pt idx="1">
                  <c:v>OO14</c:v>
                </c:pt>
                <c:pt idx="2">
                  <c:v>OO5</c:v>
                </c:pt>
              </c:strCache>
            </c:strRef>
          </c:cat>
          <c:val>
            <c:numRef>
              <c:f>Sheet1!$J$30:$J$32</c:f>
              <c:numCache>
                <c:formatCode>General</c:formatCode>
                <c:ptCount val="3"/>
                <c:pt idx="0">
                  <c:v>3160</c:v>
                </c:pt>
                <c:pt idx="1">
                  <c:v>687</c:v>
                </c:pt>
                <c:pt idx="2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BB-4CF8-859F-388137A4CCF2}"/>
            </c:ext>
          </c:extLst>
        </c:ser>
        <c:ser>
          <c:idx val="3"/>
          <c:order val="3"/>
          <c:tx>
            <c:strRef>
              <c:f>Sheet1!$K$29</c:f>
              <c:strCache>
                <c:ptCount val="1"/>
                <c:pt idx="0">
                  <c:v>CB118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Sheet1!$G$30:$G$32</c:f>
              <c:strCache>
                <c:ptCount val="3"/>
                <c:pt idx="0">
                  <c:v>OO11</c:v>
                </c:pt>
                <c:pt idx="1">
                  <c:v>OO14</c:v>
                </c:pt>
                <c:pt idx="2">
                  <c:v>OO5</c:v>
                </c:pt>
              </c:strCache>
            </c:strRef>
          </c:cat>
          <c:val>
            <c:numRef>
              <c:f>Sheet1!$K$30:$K$32</c:f>
              <c:numCache>
                <c:formatCode>General</c:formatCode>
                <c:ptCount val="3"/>
                <c:pt idx="0">
                  <c:v>3650</c:v>
                </c:pt>
                <c:pt idx="1">
                  <c:v>462</c:v>
                </c:pt>
                <c:pt idx="2">
                  <c:v>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6BB-4CF8-859F-388137A4CCF2}"/>
            </c:ext>
          </c:extLst>
        </c:ser>
        <c:ser>
          <c:idx val="4"/>
          <c:order val="4"/>
          <c:tx>
            <c:strRef>
              <c:f>Sheet1!$L$29</c:f>
              <c:strCache>
                <c:ptCount val="1"/>
                <c:pt idx="0">
                  <c:v>CB138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Sheet1!$G$30:$G$32</c:f>
              <c:strCache>
                <c:ptCount val="3"/>
                <c:pt idx="0">
                  <c:v>OO11</c:v>
                </c:pt>
                <c:pt idx="1">
                  <c:v>OO14</c:v>
                </c:pt>
                <c:pt idx="2">
                  <c:v>OO5</c:v>
                </c:pt>
              </c:strCache>
            </c:strRef>
          </c:cat>
          <c:val>
            <c:numRef>
              <c:f>Sheet1!$L$30:$L$32</c:f>
              <c:numCache>
                <c:formatCode>General</c:formatCode>
                <c:ptCount val="3"/>
                <c:pt idx="0">
                  <c:v>23900</c:v>
                </c:pt>
                <c:pt idx="1">
                  <c:v>1290</c:v>
                </c:pt>
                <c:pt idx="2">
                  <c:v>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6BB-4CF8-859F-388137A4CCF2}"/>
            </c:ext>
          </c:extLst>
        </c:ser>
        <c:ser>
          <c:idx val="5"/>
          <c:order val="5"/>
          <c:tx>
            <c:strRef>
              <c:f>Sheet1!$M$29</c:f>
              <c:strCache>
                <c:ptCount val="1"/>
                <c:pt idx="0">
                  <c:v>CB153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Sheet1!$G$30:$G$32</c:f>
              <c:strCache>
                <c:ptCount val="3"/>
                <c:pt idx="0">
                  <c:v>OO11</c:v>
                </c:pt>
                <c:pt idx="1">
                  <c:v>OO14</c:v>
                </c:pt>
                <c:pt idx="2">
                  <c:v>OO5</c:v>
                </c:pt>
              </c:strCache>
            </c:strRef>
          </c:cat>
          <c:val>
            <c:numRef>
              <c:f>Sheet1!$M$30:$M$32</c:f>
              <c:numCache>
                <c:formatCode>General</c:formatCode>
                <c:ptCount val="3"/>
                <c:pt idx="0">
                  <c:v>35300</c:v>
                </c:pt>
                <c:pt idx="1">
                  <c:v>1690</c:v>
                </c:pt>
                <c:pt idx="2">
                  <c:v>466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6BB-4CF8-859F-388137A4CCF2}"/>
            </c:ext>
          </c:extLst>
        </c:ser>
        <c:ser>
          <c:idx val="6"/>
          <c:order val="6"/>
          <c:tx>
            <c:strRef>
              <c:f>Sheet1!$N$29</c:f>
              <c:strCache>
                <c:ptCount val="1"/>
                <c:pt idx="0">
                  <c:v>CB180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Sheet1!$G$30:$G$32</c:f>
              <c:strCache>
                <c:ptCount val="3"/>
                <c:pt idx="0">
                  <c:v>OO11</c:v>
                </c:pt>
                <c:pt idx="1">
                  <c:v>OO14</c:v>
                </c:pt>
                <c:pt idx="2">
                  <c:v>OO5</c:v>
                </c:pt>
              </c:strCache>
            </c:strRef>
          </c:cat>
          <c:val>
            <c:numRef>
              <c:f>Sheet1!$N$30:$N$32</c:f>
              <c:numCache>
                <c:formatCode>General</c:formatCode>
                <c:ptCount val="3"/>
                <c:pt idx="0">
                  <c:v>6540</c:v>
                </c:pt>
                <c:pt idx="1">
                  <c:v>650</c:v>
                </c:pt>
                <c:pt idx="2">
                  <c:v>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6BB-4CF8-859F-388137A4CC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23502016"/>
        <c:axId val="1023501656"/>
      </c:barChart>
      <c:catAx>
        <c:axId val="102350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501656"/>
        <c:crosses val="autoZero"/>
        <c:auto val="1"/>
        <c:lblAlgn val="ctr"/>
        <c:lblOffset val="100"/>
        <c:noMultiLvlLbl val="0"/>
      </c:catAx>
      <c:valAx>
        <c:axId val="1023501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Concentration (ng/g,</a:t>
                </a:r>
                <a:r>
                  <a:rPr lang="en-GB" sz="1400" baseline="0"/>
                  <a:t> </a:t>
                </a:r>
                <a:r>
                  <a:rPr lang="en-GB" sz="1400"/>
                  <a:t>w.w) </a:t>
                </a:r>
              </a:p>
            </c:rich>
          </c:tx>
          <c:layout>
            <c:manualLayout>
              <c:xMode val="edge"/>
              <c:yMode val="edge"/>
              <c:x val="1.0025062656641603E-2"/>
              <c:y val="0.259601687935863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502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428625</xdr:colOff>
      <xdr:row>13</xdr:row>
      <xdr:rowOff>87312</xdr:rowOff>
    </xdr:from>
    <xdr:to>
      <xdr:col>24</xdr:col>
      <xdr:colOff>123825</xdr:colOff>
      <xdr:row>27</xdr:row>
      <xdr:rowOff>153987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5940A7-D2AC-BD0A-812B-6BCE1378E5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561975</xdr:colOff>
      <xdr:row>3</xdr:row>
      <xdr:rowOff>163511</xdr:rowOff>
    </xdr:from>
    <xdr:to>
      <xdr:col>12</xdr:col>
      <xdr:colOff>190500</xdr:colOff>
      <xdr:row>24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F24A106-C9D3-1BB7-AB56-C2BC4A7651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285750</xdr:colOff>
      <xdr:row>19</xdr:row>
      <xdr:rowOff>95250</xdr:rowOff>
    </xdr:from>
    <xdr:to>
      <xdr:col>12</xdr:col>
      <xdr:colOff>76200</xdr:colOff>
      <xdr:row>19</xdr:row>
      <xdr:rowOff>104775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D5BAA274-96AF-4EA5-4EE2-D80523C49743}"/>
            </a:ext>
          </a:extLst>
        </xdr:cNvPr>
        <xdr:cNvCxnSpPr/>
      </xdr:nvCxnSpPr>
      <xdr:spPr>
        <a:xfrm flipV="1">
          <a:off x="2114550" y="3714750"/>
          <a:ext cx="5276850" cy="9525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344BF-11C1-4184-95F7-486D5443C9F0}">
  <dimension ref="G15:P32"/>
  <sheetViews>
    <sheetView tabSelected="1" workbookViewId="0">
      <selection activeCell="G32" sqref="G32"/>
    </sheetView>
  </sheetViews>
  <sheetFormatPr defaultRowHeight="14.75" x14ac:dyDescent="0.75"/>
  <sheetData>
    <row r="15" spans="8:16" x14ac:dyDescent="0.75">
      <c r="H15" s="1">
        <v>16.5</v>
      </c>
      <c r="I15" s="1">
        <v>4440</v>
      </c>
      <c r="J15" s="1">
        <v>3160</v>
      </c>
      <c r="K15" s="1">
        <v>3650</v>
      </c>
      <c r="L15" s="1">
        <v>23900</v>
      </c>
      <c r="M15" s="1">
        <v>35300</v>
      </c>
      <c r="N15" s="1">
        <v>6540</v>
      </c>
      <c r="O15">
        <f>SUM(H15:N15)</f>
        <v>77006.5</v>
      </c>
      <c r="P15" t="s">
        <v>0</v>
      </c>
    </row>
    <row r="16" spans="8:16" x14ac:dyDescent="0.75">
      <c r="O16" s="2">
        <f>O15/1000</f>
        <v>77.006500000000003</v>
      </c>
      <c r="P16" t="s">
        <v>1</v>
      </c>
    </row>
    <row r="18" spans="7:16" x14ac:dyDescent="0.75">
      <c r="O18">
        <v>11</v>
      </c>
      <c r="P18" t="s">
        <v>1</v>
      </c>
    </row>
    <row r="20" spans="7:16" x14ac:dyDescent="0.75">
      <c r="O20">
        <f>O18*1000</f>
        <v>11000</v>
      </c>
    </row>
    <row r="27" spans="7:16" ht="15.5" thickBot="1" x14ac:dyDescent="0.9">
      <c r="H27" s="4" t="s">
        <v>9</v>
      </c>
      <c r="I27" s="4" t="s">
        <v>10</v>
      </c>
      <c r="J27" s="4" t="s">
        <v>11</v>
      </c>
      <c r="K27" s="4" t="s">
        <v>12</v>
      </c>
      <c r="L27" s="4" t="s">
        <v>13</v>
      </c>
      <c r="M27" s="4" t="s">
        <v>14</v>
      </c>
      <c r="N27" s="4" t="s">
        <v>15</v>
      </c>
    </row>
    <row r="28" spans="7:16" x14ac:dyDescent="0.75">
      <c r="H28" s="3"/>
      <c r="I28" s="3"/>
      <c r="J28" s="3"/>
      <c r="K28" s="3"/>
      <c r="L28" s="3"/>
      <c r="M28" s="3"/>
      <c r="N28" s="3"/>
    </row>
    <row r="29" spans="7:16" x14ac:dyDescent="0.75">
      <c r="H29" s="3" t="s">
        <v>2</v>
      </c>
      <c r="I29" s="3" t="s">
        <v>3</v>
      </c>
      <c r="J29" s="3" t="s">
        <v>4</v>
      </c>
      <c r="K29" s="3" t="s">
        <v>5</v>
      </c>
      <c r="L29" s="3" t="s">
        <v>6</v>
      </c>
      <c r="M29" s="3" t="s">
        <v>7</v>
      </c>
      <c r="N29" s="3" t="s">
        <v>8</v>
      </c>
    </row>
    <row r="30" spans="7:16" x14ac:dyDescent="0.75">
      <c r="G30" t="s">
        <v>16</v>
      </c>
      <c r="H30" s="1">
        <v>16.5</v>
      </c>
      <c r="I30" s="1">
        <v>4440</v>
      </c>
      <c r="J30" s="1">
        <v>3160</v>
      </c>
      <c r="K30" s="1">
        <v>3650</v>
      </c>
      <c r="L30" s="1">
        <v>23900</v>
      </c>
      <c r="M30" s="1">
        <v>35300</v>
      </c>
      <c r="N30" s="1">
        <v>6540</v>
      </c>
    </row>
    <row r="31" spans="7:16" x14ac:dyDescent="0.75">
      <c r="G31" t="s">
        <v>18</v>
      </c>
      <c r="H31" s="1">
        <v>0.92</v>
      </c>
      <c r="I31" s="1">
        <v>595</v>
      </c>
      <c r="J31" s="1">
        <v>687</v>
      </c>
      <c r="K31" s="1">
        <v>462</v>
      </c>
      <c r="L31" s="1">
        <v>1290</v>
      </c>
      <c r="M31" s="1">
        <v>1690</v>
      </c>
      <c r="N31" s="1">
        <v>650</v>
      </c>
    </row>
    <row r="32" spans="7:16" x14ac:dyDescent="0.75">
      <c r="G32" t="s">
        <v>17</v>
      </c>
      <c r="H32" s="1">
        <v>28</v>
      </c>
      <c r="I32" s="1">
        <v>222</v>
      </c>
      <c r="J32" s="1">
        <v>288</v>
      </c>
      <c r="K32" s="1">
        <v>233</v>
      </c>
      <c r="L32" s="1">
        <v>396</v>
      </c>
      <c r="M32" s="1">
        <v>466</v>
      </c>
      <c r="N32" s="1">
        <v>118</v>
      </c>
    </row>
  </sheetData>
  <conditionalFormatting sqref="H29:N29">
    <cfRule type="containsBlanks" dxfId="2" priority="1">
      <formula>LEN(TRIM(H29))=0</formula>
    </cfRule>
  </conditionalFormatting>
  <conditionalFormatting sqref="H29:N29">
    <cfRule type="duplicateValues" dxfId="1" priority="2"/>
  </conditionalFormatting>
  <conditionalFormatting sqref="H27:N27">
    <cfRule type="duplicateValues" dxfId="0" priority="3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Cathrine Brecke Gundersen</dc:creator>
  <cp:lastModifiedBy>Cathrine Brecke Gundersen</cp:lastModifiedBy>
  <dcterms:created xsi:type="dcterms:W3CDTF">2024-08-26T11:39:25Z</dcterms:created>
  <dcterms:modified xsi:type="dcterms:W3CDTF">2024-08-26T13:04:53Z</dcterms:modified>
</cp:coreProperties>
</file>